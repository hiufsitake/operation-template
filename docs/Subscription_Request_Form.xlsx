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Form" sheetId="1" state="visible" r:id="rId1"/>
  </sheets>
  <definedNames>
    <definedName name="_xlnm.Print_Area" localSheetId="0">'Request Form'!$A$1:$I$61</definedName>
  </definedNames>
  <calcPr calcId="124519" fullCalcOnLoad="1"/>
</workbook>
</file>

<file path=xl/styles.xml><?xml version="1.0" encoding="utf-8"?>
<styleSheet xmlns="http://schemas.openxmlformats.org/spreadsheetml/2006/main">
  <numFmts count="1">
    <numFmt numFmtId="164" formatCode="#,##0.00;(#,##0.00);-"/>
  </numFmts>
  <fonts count="15">
    <font>
      <name val="Calibri"/>
      <family val="2"/>
      <color theme="1"/>
      <sz val="11"/>
      <scheme val="minor"/>
    </font>
    <font>
      <name val="Arial"/>
      <b val="1"/>
      <color rgb="00FFFFFF"/>
      <sz val="16"/>
    </font>
    <font>
      <name val="Arial"/>
      <b val="1"/>
      <color rgb="00FFFFFF"/>
      <sz val="10"/>
    </font>
    <font>
      <name val="Arial"/>
      <b val="1"/>
      <sz val="10"/>
    </font>
    <font>
      <name val="Arial"/>
      <color rgb="00475569"/>
      <sz val="9"/>
    </font>
    <font>
      <name val="Arial"/>
      <b val="1"/>
      <color rgb="00FFFFFF"/>
      <sz val="11"/>
    </font>
    <font>
      <name val="Arial"/>
      <color rgb="000000FF"/>
      <sz val="10"/>
    </font>
    <font>
      <name val="Arial"/>
      <i val="1"/>
      <color rgb="0094A3B8"/>
      <sz val="9"/>
    </font>
    <font>
      <name val="Arial"/>
      <b val="1"/>
      <color rgb="000000FF"/>
      <sz val="11"/>
    </font>
    <font>
      <name val="Arial"/>
      <b val="1"/>
      <color rgb="00FFFFFF"/>
      <sz val="9"/>
    </font>
    <font>
      <name val="Arial"/>
      <sz val="10"/>
    </font>
    <font>
      <name val="Arial"/>
      <b val="1"/>
      <color rgb="000000FF"/>
      <sz val="10"/>
    </font>
    <font>
      <name val="Arial"/>
      <b val="1"/>
      <color rgb="00FFFFFF"/>
      <sz val="12"/>
    </font>
    <font>
      <name val="Arial"/>
      <i val="1"/>
      <color rgb="0094A3B8"/>
      <sz val="8"/>
    </font>
    <font>
      <name val="Arial"/>
      <color rgb="00475569"/>
      <sz val="8"/>
    </font>
  </fonts>
  <fills count="6">
    <fill>
      <patternFill/>
    </fill>
    <fill>
      <patternFill patternType="gray125"/>
    </fill>
    <fill>
      <patternFill patternType="solid">
        <fgColor rgb="000F172A"/>
      </patternFill>
    </fill>
    <fill>
      <patternFill patternType="solid">
        <fgColor rgb="0010B981"/>
      </patternFill>
    </fill>
    <fill>
      <patternFill patternType="solid">
        <fgColor rgb="00FFF2CC"/>
      </patternFill>
    </fill>
    <fill>
      <patternFill patternType="solid">
        <fgColor rgb="00F1F5F9"/>
      </patternFill>
    </fill>
  </fills>
  <borders count="3">
    <border>
      <left/>
      <right/>
      <top/>
      <bottom/>
      <diagonal/>
    </border>
    <border>
      <left style="thin">
        <color rgb="00CBD5E1"/>
      </left>
      <right style="thin">
        <color rgb="00CBD5E1"/>
      </right>
      <top style="thin">
        <color rgb="00CBD5E1"/>
      </top>
      <bottom style="thin">
        <color rgb="00CBD5E1"/>
      </bottom>
    </border>
    <border>
      <bottom style="thin">
        <color rgb="0047556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3" fillId="0" borderId="0" pivotButton="0" quotePrefix="0" xfId="0"/>
    <xf numFmtId="0" fontId="4" fillId="0" borderId="0" applyAlignment="1" pivotButton="0" quotePrefix="0" xfId="0">
      <alignment horizontal="left" vertical="center" indent="1"/>
    </xf>
    <xf numFmtId="0" fontId="5" fillId="2" borderId="0" applyAlignment="1" pivotButton="0" quotePrefix="0" xfId="0">
      <alignment horizontal="left" vertical="center" indent="1"/>
    </xf>
    <xf numFmtId="0" fontId="3" fillId="0" borderId="0" applyAlignment="1" pivotButton="0" quotePrefix="0" xfId="0">
      <alignment horizontal="left" vertical="center" indent="1"/>
    </xf>
    <xf numFmtId="0" fontId="6" fillId="4" borderId="1" applyAlignment="1" pivotButton="0" quotePrefix="0" xfId="0">
      <alignment horizontal="left" vertical="center" wrapText="1" indent="1"/>
    </xf>
    <xf numFmtId="0" fontId="0" fillId="0" borderId="1" pivotButton="0" quotePrefix="0" xfId="0"/>
    <xf numFmtId="0" fontId="7" fillId="0" borderId="0" applyAlignment="1" pivotButton="0" quotePrefix="0" xfId="0">
      <alignment horizontal="left" vertical="center" indent="1"/>
    </xf>
    <xf numFmtId="0" fontId="8" fillId="4" borderId="1" applyAlignment="1" pivotButton="0" quotePrefix="0" xfId="0">
      <alignment horizontal="center" vertical="center"/>
    </xf>
    <xf numFmtId="0" fontId="9" fillId="3" borderId="1" applyAlignment="1" pivotButton="0" quotePrefix="0" xfId="0">
      <alignment horizontal="center" vertical="center" wrapText="1"/>
    </xf>
    <xf numFmtId="0" fontId="10" fillId="0" borderId="1" applyAlignment="1" pivotButton="0" quotePrefix="0" xfId="0">
      <alignment horizontal="center" vertical="center"/>
    </xf>
    <xf numFmtId="0" fontId="3" fillId="0" borderId="1" applyAlignment="1" pivotButton="0" quotePrefix="0" xfId="0">
      <alignment horizontal="left" vertical="center" indent="1"/>
    </xf>
    <xf numFmtId="0" fontId="4" fillId="0" borderId="1" applyAlignment="1" pivotButton="0" quotePrefix="0" xfId="0">
      <alignment horizontal="left" vertical="center" wrapText="1" indent="1"/>
    </xf>
    <xf numFmtId="4" fontId="10" fillId="0" borderId="1" applyAlignment="1" pivotButton="0" quotePrefix="0" xfId="0">
      <alignment horizontal="center" vertical="center"/>
    </xf>
    <xf numFmtId="0" fontId="11" fillId="4" borderId="1" applyAlignment="1" pivotButton="0" quotePrefix="0" xfId="0">
      <alignment horizontal="center" vertical="center"/>
    </xf>
    <xf numFmtId="164" fontId="10" fillId="0" borderId="1" applyAlignment="1" pivotButton="0" quotePrefix="0" xfId="0">
      <alignment horizontal="right" vertical="center" indent="1"/>
    </xf>
    <xf numFmtId="0" fontId="3" fillId="5" borderId="1" applyAlignment="1" pivotButton="0" quotePrefix="0" xfId="0">
      <alignment horizontal="center" vertical="center"/>
    </xf>
    <xf numFmtId="0" fontId="3" fillId="5" borderId="1" applyAlignment="1" pivotButton="0" quotePrefix="0" xfId="0">
      <alignment horizontal="left" vertical="center" indent="1"/>
    </xf>
    <xf numFmtId="0" fontId="0" fillId="5" borderId="1" pivotButton="0" quotePrefix="0" xfId="0"/>
    <xf numFmtId="164" fontId="3" fillId="5" borderId="1" applyAlignment="1" pivotButton="0" quotePrefix="0" xfId="0">
      <alignment horizontal="right" vertical="center" indent="1"/>
    </xf>
    <xf numFmtId="0" fontId="12" fillId="2" borderId="1" applyAlignment="1" pivotButton="0" quotePrefix="0" xfId="0">
      <alignment horizontal="right" vertical="center"/>
    </xf>
    <xf numFmtId="0" fontId="0" fillId="2" borderId="1" pivotButton="0" quotePrefix="0" xfId="0"/>
    <xf numFmtId="164" fontId="12" fillId="2" borderId="1" applyAlignment="1" pivotButton="0" quotePrefix="0" xfId="0">
      <alignment horizontal="right" vertical="center" indent="1"/>
    </xf>
    <xf numFmtId="0" fontId="13" fillId="0" borderId="0" applyAlignment="1" pivotButton="0" quotePrefix="0" xfId="0">
      <alignment horizontal="left" vertical="center" indent="1"/>
    </xf>
    <xf numFmtId="0" fontId="6" fillId="4" borderId="1" applyAlignment="1" pivotButton="0" quotePrefix="0" xfId="0">
      <alignment horizontal="left" vertical="top" wrapText="1" indent="1"/>
    </xf>
    <xf numFmtId="0" fontId="14" fillId="0" borderId="0" applyAlignment="1" pivotButton="0" quotePrefix="0" xfId="0">
      <alignment horizontal="left" vertical="top" wrapText="1" indent="1"/>
    </xf>
    <xf numFmtId="0" fontId="0" fillId="0" borderId="2" pivotButton="0" quotePrefix="0" xfId="0"/>
    <xf numFmtId="0" fontId="4"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Operations Portal</author>
  </authors>
  <commentList>
    <comment ref="C33" authorId="0" shapeId="0">
      <text>
        <t>Minimum term is 6 months, payable upfront.
Allowed values: 6, 12 or 24.</t>
      </text>
    </comment>
    <comment ref="B52" authorId="0" shapeId="0">
      <text>
        <t>Custom fields, approval flow, integrations, branding requests, etc.</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B2:H60"/>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22" customWidth="1" min="3" max="3"/>
    <col width="26" customWidth="1" min="4" max="4"/>
    <col width="16" customWidth="1" min="5" max="5"/>
    <col width="14" customWidth="1" min="6" max="6"/>
    <col width="11" customWidth="1" min="7" max="7"/>
    <col width="18" customWidth="1" min="8" max="8"/>
    <col width="2.5" customWidth="1" min="9" max="9"/>
  </cols>
  <sheetData>
    <row r="2" ht="24" customHeight="1">
      <c r="B2" s="1" t="inlineStr">
        <is>
          <t>OPERATIONS PORTAL  —  SUBSCRIPTION REQUEST FORM</t>
        </is>
      </c>
      <c r="C2" s="2" t="n"/>
      <c r="D2" s="2" t="n"/>
      <c r="E2" s="2" t="n"/>
      <c r="F2" s="2" t="n"/>
      <c r="G2" s="2" t="n"/>
      <c r="H2" s="2" t="n"/>
    </row>
    <row r="3" ht="14" customHeight="1">
      <c r="B3" s="2" t="n"/>
      <c r="C3" s="2" t="n"/>
      <c r="D3" s="2" t="n"/>
      <c r="E3" s="2" t="n"/>
      <c r="F3" s="2" t="n"/>
      <c r="G3" s="2" t="n"/>
      <c r="H3" s="2" t="n"/>
    </row>
    <row r="4" ht="20" customHeight="1">
      <c r="B4" s="3" t="inlineStr">
        <is>
          <t>RM100 per module, per month  ·  Minimum 6 months, payable upfront  ·  9 modules available</t>
        </is>
      </c>
    </row>
    <row r="6">
      <c r="B6" s="4" t="inlineStr">
        <is>
          <t>HOW TO COMPLETE THIS FORM</t>
        </is>
      </c>
    </row>
    <row r="7" ht="14" customHeight="1">
      <c r="B7" s="5" t="inlineStr">
        <is>
          <t>1.  Fill in every shaded (yellow) cell.  Fields marked * are required.</t>
        </is>
      </c>
    </row>
    <row r="8" ht="14" customHeight="1">
      <c r="B8" s="5" t="inlineStr">
        <is>
          <t>2.  In the MODULE SELECTION table, type  Y  in the 'Select' column for each module you want.  Leave blank or type N to exclude it.</t>
        </is>
      </c>
    </row>
    <row r="9" ht="14" customHeight="1">
      <c r="B9" s="5" t="inlineStr">
        <is>
          <t>3.  Choose your subscription term (6, 12 or 24 months).  6 months is the minimum.</t>
        </is>
      </c>
    </row>
    <row r="10" ht="14" customHeight="1">
      <c r="B10" s="5" t="inlineStr">
        <is>
          <t>4.  The Subtotal and Total Payable cells calculate automatically — do not type over them.</t>
        </is>
      </c>
    </row>
    <row r="11" ht="14" customHeight="1">
      <c r="B11" s="5" t="inlineStr">
        <is>
          <t>5.  Sign, stamp and return this form to us by email.</t>
        </is>
      </c>
    </row>
    <row r="13" ht="22" customHeight="1">
      <c r="B13" s="6" t="inlineStr">
        <is>
          <t>SECTION A   —   COMPANY INFORMATION</t>
        </is>
      </c>
    </row>
    <row r="14" ht="20" customHeight="1">
      <c r="B14" s="7" t="inlineStr">
        <is>
          <t>Company Name *</t>
        </is>
      </c>
      <c r="C14" s="8" t="n"/>
      <c r="D14" s="9" t="n"/>
      <c r="E14" s="9" t="n"/>
      <c r="F14" s="10" t="inlineStr">
        <is>
          <t>e.g.  Acme Engineering Sdn. Bhd.</t>
        </is>
      </c>
    </row>
    <row r="15" ht="20" customHeight="1">
      <c r="B15" s="7" t="inlineStr">
        <is>
          <t>Business Reg. No. (BRN / SSM) *</t>
        </is>
      </c>
      <c r="C15" s="8" t="n"/>
      <c r="D15" s="9" t="n"/>
      <c r="E15" s="9" t="n"/>
      <c r="F15" s="10" t="inlineStr">
        <is>
          <t>e.g.  202301012345 (1501234-A)</t>
        </is>
      </c>
    </row>
    <row r="16" ht="20" customHeight="1">
      <c r="B16" s="7" t="inlineStr">
        <is>
          <t>SST Registration No.</t>
        </is>
      </c>
      <c r="C16" s="8" t="n"/>
      <c r="D16" s="9" t="n"/>
      <c r="E16" s="9" t="n"/>
      <c r="F16" s="10" t="inlineStr">
        <is>
          <t>e.g.  W10-1808-32000123  (or 'Not registered')</t>
        </is>
      </c>
    </row>
    <row r="17" ht="32" customHeight="1">
      <c r="B17" s="7" t="inlineStr">
        <is>
          <t>Registered Business Address *</t>
        </is>
      </c>
      <c r="C17" s="8" t="n"/>
      <c r="D17" s="9" t="n"/>
      <c r="E17" s="9" t="n"/>
      <c r="F17" s="10" t="inlineStr">
        <is>
          <t>e.g.  Lot 12, Jalan Perusahaan 3</t>
        </is>
      </c>
    </row>
    <row r="18" ht="20" customHeight="1">
      <c r="B18" s="7" t="inlineStr">
        <is>
          <t>Postcode *</t>
        </is>
      </c>
      <c r="C18" s="8" t="n"/>
      <c r="D18" s="9" t="n"/>
      <c r="E18" s="9" t="n"/>
      <c r="F18" s="10" t="inlineStr">
        <is>
          <t>e.g.  98000</t>
        </is>
      </c>
    </row>
    <row r="19" ht="20" customHeight="1">
      <c r="B19" s="7" t="inlineStr">
        <is>
          <t>City *</t>
        </is>
      </c>
      <c r="C19" s="8" t="n"/>
      <c r="D19" s="9" t="n"/>
      <c r="E19" s="9" t="n"/>
      <c r="F19" s="10" t="inlineStr">
        <is>
          <t>e.g.  Miri</t>
        </is>
      </c>
    </row>
    <row r="20" ht="20" customHeight="1">
      <c r="B20" s="7" t="inlineStr">
        <is>
          <t>State *</t>
        </is>
      </c>
      <c r="C20" s="8" t="n"/>
      <c r="D20" s="9" t="n"/>
      <c r="E20" s="9" t="n"/>
      <c r="F20" s="10" t="inlineStr">
        <is>
          <t>e.g.  Sarawak</t>
        </is>
      </c>
    </row>
    <row r="21" ht="20" customHeight="1">
      <c r="B21" s="7" t="inlineStr">
        <is>
          <t>Company Phone *</t>
        </is>
      </c>
      <c r="C21" s="8" t="n"/>
      <c r="D21" s="9" t="n"/>
      <c r="E21" s="9" t="n"/>
      <c r="F21" s="10" t="inlineStr">
        <is>
          <t>e.g.  +60 85-123 456</t>
        </is>
      </c>
    </row>
    <row r="22" ht="20" customHeight="1">
      <c r="B22" s="7" t="inlineStr">
        <is>
          <t>Company Email *</t>
        </is>
      </c>
      <c r="C22" s="8" t="n"/>
      <c r="D22" s="9" t="n"/>
      <c r="E22" s="9" t="n"/>
      <c r="F22" s="10" t="inlineStr">
        <is>
          <t>e.g.  accounts@acme.com.my</t>
        </is>
      </c>
    </row>
    <row r="23" ht="20" customHeight="1">
      <c r="B23" s="7" t="inlineStr">
        <is>
          <t>Industry</t>
        </is>
      </c>
      <c r="C23" s="8" t="n"/>
      <c r="D23" s="9" t="n"/>
      <c r="E23" s="9" t="n"/>
      <c r="F23" s="10" t="inlineStr">
        <is>
          <t>e.g.  Construction / Oil &amp; Gas</t>
        </is>
      </c>
    </row>
    <row r="24" ht="20" customHeight="1">
      <c r="B24" s="7" t="inlineStr">
        <is>
          <t>Estimated Portal Users</t>
        </is>
      </c>
      <c r="C24" s="8" t="n"/>
      <c r="D24" s="9" t="n"/>
      <c r="E24" s="9" t="n"/>
      <c r="F24" s="10" t="inlineStr">
        <is>
          <t>e.g.  11 - 25</t>
        </is>
      </c>
    </row>
    <row r="26" ht="22" customHeight="1">
      <c r="B26" s="6" t="inlineStr">
        <is>
          <t>SECTION B   —   PERSON IN CHARGE</t>
        </is>
      </c>
    </row>
    <row r="27" ht="20" customHeight="1">
      <c r="B27" s="7" t="inlineStr">
        <is>
          <t>Full Name *</t>
        </is>
      </c>
      <c r="C27" s="8" t="n"/>
      <c r="D27" s="9" t="n"/>
      <c r="E27" s="9" t="n"/>
      <c r="F27" s="10" t="inlineStr">
        <is>
          <t>e.g.  Jane Lim</t>
        </is>
      </c>
    </row>
    <row r="28" ht="20" customHeight="1">
      <c r="B28" s="7" t="inlineStr">
        <is>
          <t>Designation *</t>
        </is>
      </c>
      <c r="C28" s="8" t="n"/>
      <c r="D28" s="9" t="n"/>
      <c r="E28" s="9" t="n"/>
      <c r="F28" s="10" t="inlineStr">
        <is>
          <t>e.g.  Operations Manager</t>
        </is>
      </c>
    </row>
    <row r="29" ht="20" customHeight="1">
      <c r="B29" s="7" t="inlineStr">
        <is>
          <t>Mobile No. *</t>
        </is>
      </c>
      <c r="C29" s="8" t="n"/>
      <c r="D29" s="9" t="n"/>
      <c r="E29" s="9" t="n"/>
      <c r="F29" s="10" t="inlineStr">
        <is>
          <t>e.g.  +60 12-345 6789</t>
        </is>
      </c>
    </row>
    <row r="30" ht="20" customHeight="1">
      <c r="B30" s="7" t="inlineStr">
        <is>
          <t>Email Address *</t>
        </is>
      </c>
      <c r="C30" s="8" t="n"/>
      <c r="D30" s="9" t="n"/>
      <c r="E30" s="9" t="n"/>
      <c r="F30" s="10" t="inlineStr">
        <is>
          <t>e.g.  jane@acme.com.my</t>
        </is>
      </c>
    </row>
    <row r="32" ht="22" customHeight="1">
      <c r="B32" s="6" t="inlineStr">
        <is>
          <t>SECTION C   —   SUBSCRIPTION TERM</t>
        </is>
      </c>
    </row>
    <row r="33" ht="20" customHeight="1">
      <c r="B33" s="7" t="inlineStr">
        <is>
          <t>Subscription Term (months) *</t>
        </is>
      </c>
      <c r="C33" s="11" t="n">
        <v>6</v>
      </c>
      <c r="D33" s="9" t="n"/>
      <c r="E33" s="9" t="n"/>
      <c r="F33" s="10" t="inlineStr">
        <is>
          <t>e.g.  6, 12 or 24  —  minimum 6</t>
        </is>
      </c>
    </row>
    <row r="34" ht="20" customHeight="1">
      <c r="B34" s="7" t="inlineStr">
        <is>
          <t>Preferred Start Date</t>
        </is>
      </c>
      <c r="C34" s="8" t="n"/>
      <c r="D34" s="9" t="n"/>
      <c r="E34" s="9" t="n"/>
      <c r="F34" s="10" t="inlineStr">
        <is>
          <t>e.g.  01/03/2026</t>
        </is>
      </c>
    </row>
    <row r="36" ht="22" customHeight="1">
      <c r="B36" s="6" t="inlineStr">
        <is>
          <t>SECTION D   —   MODULE SELECTION</t>
        </is>
      </c>
    </row>
    <row r="37" ht="28" customHeight="1">
      <c r="B37" s="12" t="inlineStr">
        <is>
          <t>No.</t>
        </is>
      </c>
      <c r="C37" s="12" t="inlineStr">
        <is>
          <t>Module</t>
        </is>
      </c>
      <c r="D37" s="12" t="inlineStr">
        <is>
          <t>What it does</t>
        </is>
      </c>
      <c r="E37" s="12" t="inlineStr">
        <is>
          <t>Rate (RM/month)</t>
        </is>
      </c>
      <c r="F37" s="12" t="inlineStr">
        <is>
          <t>Select (Y/N)</t>
        </is>
      </c>
      <c r="G37" s="12" t="inlineStr">
        <is>
          <t>Months</t>
        </is>
      </c>
      <c r="H37" s="12" t="inlineStr">
        <is>
          <t>Subtotal (RM)</t>
        </is>
      </c>
    </row>
    <row r="38" ht="26" customHeight="1">
      <c r="B38" s="13" t="n">
        <v>1</v>
      </c>
      <c r="C38" s="14" t="inlineStr">
        <is>
          <t>Project Management</t>
        </is>
      </c>
      <c r="D38" s="15" t="inlineStr">
        <is>
          <t>Track projects, progress, invoicing and payment status.</t>
        </is>
      </c>
      <c r="E38" s="16" t="n">
        <v>100</v>
      </c>
      <c r="F38" s="17" t="n"/>
      <c r="G38" s="13">
        <f>IF(UPPER($F38)="Y",$C$33,0)</f>
        <v/>
      </c>
      <c r="H38" s="18">
        <f>IF(UPPER($F38)="Y",$E38*$C$33,0)</f>
        <v/>
      </c>
    </row>
    <row r="39" ht="26" customHeight="1">
      <c r="B39" s="13" t="n">
        <v>2</v>
      </c>
      <c r="C39" s="14" t="inlineStr">
        <is>
          <t>PO System</t>
        </is>
      </c>
      <c r="D39" s="15" t="inlineStr">
        <is>
          <t>Raise, approve and issue purchase orders with PDF output.</t>
        </is>
      </c>
      <c r="E39" s="16" t="n">
        <v>100</v>
      </c>
      <c r="F39" s="17" t="n"/>
      <c r="G39" s="13">
        <f>IF(UPPER($F39)="Y",$C$33,0)</f>
        <v/>
      </c>
      <c r="H39" s="18">
        <f>IF(UPPER($F39)="Y",$E39*$C$33,0)</f>
        <v/>
      </c>
    </row>
    <row r="40" ht="26" customHeight="1">
      <c r="B40" s="13" t="n">
        <v>3</v>
      </c>
      <c r="C40" s="14" t="inlineStr">
        <is>
          <t>Cash Claim</t>
        </is>
      </c>
      <c r="D40" s="15" t="inlineStr">
        <is>
          <t>Staff cash reimbursements with approval flow and PDF vouchers.</t>
        </is>
      </c>
      <c r="E40" s="16" t="n">
        <v>100</v>
      </c>
      <c r="F40" s="17" t="n"/>
      <c r="G40" s="13">
        <f>IF(UPPER($F40)="Y",$C$33,0)</f>
        <v/>
      </c>
      <c r="H40" s="18">
        <f>IF(UPPER($F40)="Y",$E40*$C$33,0)</f>
        <v/>
      </c>
    </row>
    <row r="41" ht="26" customHeight="1">
      <c r="B41" s="13" t="n">
        <v>4</v>
      </c>
      <c r="C41" s="14" t="inlineStr">
        <is>
          <t>Staff Claim</t>
        </is>
      </c>
      <c r="D41" s="15" t="inlineStr">
        <is>
          <t>Staff expense claims with itemised entry and approvals.</t>
        </is>
      </c>
      <c r="E41" s="16" t="n">
        <v>100</v>
      </c>
      <c r="F41" s="17" t="n"/>
      <c r="G41" s="13">
        <f>IF(UPPER($F41)="Y",$C$33,0)</f>
        <v/>
      </c>
      <c r="H41" s="18">
        <f>IF(UPPER($F41)="Y",$E41*$C$33,0)</f>
        <v/>
      </c>
    </row>
    <row r="42" ht="26" customHeight="1">
      <c r="B42" s="13" t="n">
        <v>5</v>
      </c>
      <c r="C42" s="14" t="inlineStr">
        <is>
          <t>Leave System</t>
        </is>
      </c>
      <c r="D42" s="15" t="inlineStr">
        <is>
          <t>Leave applications, balances and approval workflow.</t>
        </is>
      </c>
      <c r="E42" s="16" t="n">
        <v>100</v>
      </c>
      <c r="F42" s="17" t="n"/>
      <c r="G42" s="13">
        <f>IF(UPPER($F42)="Y",$C$33,0)</f>
        <v/>
      </c>
      <c r="H42" s="18">
        <f>IF(UPPER($F42)="Y",$E42*$C$33,0)</f>
        <v/>
      </c>
    </row>
    <row r="43" ht="26" customHeight="1">
      <c r="B43" s="13" t="n">
        <v>6</v>
      </c>
      <c r="C43" s="14" t="inlineStr">
        <is>
          <t>Receipt Sender</t>
        </is>
      </c>
      <c r="D43" s="15" t="inlineStr">
        <is>
          <t>Issue and email receipts to customers, with full history.</t>
        </is>
      </c>
      <c r="E43" s="16" t="n">
        <v>100</v>
      </c>
      <c r="F43" s="17" t="n"/>
      <c r="G43" s="13">
        <f>IF(UPPER($F43)="Y",$C$33,0)</f>
        <v/>
      </c>
      <c r="H43" s="18">
        <f>IF(UPPER($F43)="Y",$E43*$C$33,0)</f>
        <v/>
      </c>
    </row>
    <row r="44" ht="26" customHeight="1">
      <c r="B44" s="13" t="n">
        <v>7</v>
      </c>
      <c r="C44" s="14" t="inlineStr">
        <is>
          <t>Customer Database</t>
        </is>
      </c>
      <c r="D44" s="15" t="inlineStr">
        <is>
          <t>Central customer directory with search and contact records.</t>
        </is>
      </c>
      <c r="E44" s="16" t="n">
        <v>100</v>
      </c>
      <c r="F44" s="17" t="n"/>
      <c r="G44" s="13">
        <f>IF(UPPER($F44)="Y",$C$33,0)</f>
        <v/>
      </c>
      <c r="H44" s="18">
        <f>IF(UPPER($F44)="Y",$E44*$C$33,0)</f>
        <v/>
      </c>
    </row>
    <row r="45" ht="26" customHeight="1">
      <c r="B45" s="13" t="n">
        <v>8</v>
      </c>
      <c r="C45" s="14" t="inlineStr">
        <is>
          <t>Vehicle Management</t>
        </is>
      </c>
      <c r="D45" s="15" t="inlineStr">
        <is>
          <t>Fleet records with road tax and insurance expiry reminders.</t>
        </is>
      </c>
      <c r="E45" s="16" t="n">
        <v>100</v>
      </c>
      <c r="F45" s="17" t="n"/>
      <c r="G45" s="13">
        <f>IF(UPPER($F45)="Y",$C$33,0)</f>
        <v/>
      </c>
      <c r="H45" s="18">
        <f>IF(UPPER($F45)="Y",$E45*$C$33,0)</f>
        <v/>
      </c>
    </row>
    <row r="46" ht="26" customHeight="1">
      <c r="B46" s="13" t="n">
        <v>9</v>
      </c>
      <c r="C46" s="14" t="inlineStr">
        <is>
          <t>Project Costing</t>
        </is>
      </c>
      <c r="D46" s="15" t="inlineStr">
        <is>
          <t>Cost tracking per project with margin visibility.</t>
        </is>
      </c>
      <c r="E46" s="16" t="n">
        <v>100</v>
      </c>
      <c r="F46" s="17" t="n"/>
      <c r="G46" s="13">
        <f>IF(UPPER($F46)="Y",$C$33,0)</f>
        <v/>
      </c>
      <c r="H46" s="18">
        <f>IF(UPPER($F46)="Y",$E46*$C$33,0)</f>
        <v/>
      </c>
    </row>
    <row r="47" ht="22" customHeight="1">
      <c r="B47" s="19">
        <f>COUNTIF($F38:$F46,"Y")</f>
        <v/>
      </c>
      <c r="C47" s="20">
        <f>" module(s) selected   x   RM"&amp;TEXT($E38,"#,##0")&amp;"   x   "&amp;TEXT($C$33,"0")&amp;" months"</f>
        <v/>
      </c>
      <c r="D47" s="21" t="n"/>
      <c r="E47" s="21" t="n"/>
      <c r="F47" s="21" t="n"/>
      <c r="G47" s="21" t="n"/>
      <c r="H47" s="22">
        <f>SUM($H38:$H46)</f>
        <v/>
      </c>
    </row>
    <row r="48" ht="26" customHeight="1">
      <c r="B48" s="23" t="inlineStr">
        <is>
          <t>TOTAL PAYABLE UPFRONT (RM)</t>
        </is>
      </c>
      <c r="C48" s="24" t="n"/>
      <c r="D48" s="24" t="n"/>
      <c r="E48" s="24" t="n"/>
      <c r="F48" s="24" t="n"/>
      <c r="G48" s="24" t="n"/>
      <c r="H48" s="25">
        <f>$H47</f>
        <v/>
      </c>
    </row>
    <row r="49">
      <c r="B49" s="26" t="inlineStr">
        <is>
          <t>Rate and minimum term are set by us and are not editable. SST will be added where applicable.</t>
        </is>
      </c>
    </row>
    <row r="51" ht="22" customHeight="1">
      <c r="B51" s="6" t="inlineStr">
        <is>
          <t>SECTION E   —   ADDITIONAL REQUIREMENTS</t>
        </is>
      </c>
    </row>
    <row r="52" ht="18" customHeight="1">
      <c r="B52" s="27" t="n"/>
      <c r="C52" s="9" t="n"/>
      <c r="D52" s="9" t="n"/>
      <c r="E52" s="9" t="n"/>
      <c r="F52" s="9" t="n"/>
      <c r="G52" s="9" t="n"/>
      <c r="H52" s="9" t="n"/>
    </row>
    <row r="53" ht="18" customHeight="1">
      <c r="B53" s="9" t="n"/>
      <c r="C53" s="9" t="n"/>
      <c r="D53" s="9" t="n"/>
      <c r="E53" s="9" t="n"/>
      <c r="F53" s="9" t="n"/>
      <c r="G53" s="9" t="n"/>
      <c r="H53" s="9" t="n"/>
    </row>
    <row r="54" ht="18" customHeight="1">
      <c r="B54" s="9" t="n"/>
      <c r="C54" s="9" t="n"/>
      <c r="D54" s="9" t="n"/>
      <c r="E54" s="9" t="n"/>
      <c r="F54" s="9" t="n"/>
      <c r="G54" s="9" t="n"/>
      <c r="H54" s="9" t="n"/>
    </row>
    <row r="56" ht="16" customHeight="1">
      <c r="B56" s="28" t="inlineStr">
        <is>
          <t>DECLARATION:  We confirm the information above is accurate and request the modules selected, for the term stated, at the rates shown. Payment is due upfront for the full term and covers development, deployment and hosting. This form is a request for service and is not binding until confirmed in writing.</t>
        </is>
      </c>
    </row>
    <row r="57" ht="16" customHeight="1"/>
    <row r="59" ht="28" customHeight="1">
      <c r="B59" s="29" t="n"/>
      <c r="C59" s="29" t="n"/>
      <c r="D59" s="29" t="n"/>
      <c r="F59" s="29" t="n"/>
      <c r="G59" s="29" t="n"/>
      <c r="H59" s="29" t="n"/>
    </row>
    <row r="60">
      <c r="B60" s="30" t="inlineStr">
        <is>
          <t>Authorised Signature &amp; Company Stamp</t>
        </is>
      </c>
      <c r="F60" s="30" t="inlineStr">
        <is>
          <t>Date</t>
        </is>
      </c>
    </row>
  </sheetData>
  <mergeCells count="54">
    <mergeCell ref="C16:E16"/>
    <mergeCell ref="F20:H20"/>
    <mergeCell ref="B48:G48"/>
    <mergeCell ref="C20:E20"/>
    <mergeCell ref="B9:H9"/>
    <mergeCell ref="F18:H18"/>
    <mergeCell ref="F21:H21"/>
    <mergeCell ref="F33:H33"/>
    <mergeCell ref="B49:H49"/>
    <mergeCell ref="C22:E22"/>
    <mergeCell ref="B6:H6"/>
    <mergeCell ref="F17:H17"/>
    <mergeCell ref="B2:H3"/>
    <mergeCell ref="C21:E21"/>
    <mergeCell ref="B51:H51"/>
    <mergeCell ref="F23:H23"/>
    <mergeCell ref="B36:H36"/>
    <mergeCell ref="B32:H32"/>
    <mergeCell ref="F22:H22"/>
    <mergeCell ref="B26:H26"/>
    <mergeCell ref="C27:E27"/>
    <mergeCell ref="F28:H28"/>
    <mergeCell ref="C47:G47"/>
    <mergeCell ref="B4:H4"/>
    <mergeCell ref="C23:E23"/>
    <mergeCell ref="F27:H27"/>
    <mergeCell ref="F30:H30"/>
    <mergeCell ref="C17:E17"/>
    <mergeCell ref="B7:H7"/>
    <mergeCell ref="C28:E28"/>
    <mergeCell ref="F14:H14"/>
    <mergeCell ref="C19:E19"/>
    <mergeCell ref="B52:H54"/>
    <mergeCell ref="C18:E18"/>
    <mergeCell ref="B11:H11"/>
    <mergeCell ref="C30:E30"/>
    <mergeCell ref="F29:H29"/>
    <mergeCell ref="C15:E15"/>
    <mergeCell ref="C34:E34"/>
    <mergeCell ref="F59:H59"/>
    <mergeCell ref="C24:E24"/>
    <mergeCell ref="F34:H34"/>
    <mergeCell ref="B8:H8"/>
    <mergeCell ref="F16:H16"/>
    <mergeCell ref="C14:E14"/>
    <mergeCell ref="C33:E33"/>
    <mergeCell ref="F19:H19"/>
    <mergeCell ref="B59:D59"/>
    <mergeCell ref="B13:H13"/>
    <mergeCell ref="B10:H10"/>
    <mergeCell ref="C29:E29"/>
    <mergeCell ref="B56:H57"/>
    <mergeCell ref="F15:H15"/>
    <mergeCell ref="F24:H24"/>
  </mergeCells>
  <dataValidations count="2">
    <dataValidation sqref="C33" showDropDown="0" showInputMessage="0" showErrorMessage="1" allowBlank="0" errorTitle="Invalid term" error="Choose 6, 12 or 24 months. The minimum term is 6 months." type="list">
      <formula1>"6,12,24"</formula1>
    </dataValidation>
    <dataValidation sqref="F38:F46" showDropDown="0" showInputMessage="0" showErrorMessage="1" allowBlank="1" errorTitle="Invalid entry" error="Type Y to include this module, or N / leave blank to exclude it." type="list">
      <formula1>"Y,N"</formula1>
    </dataValidation>
  </dataValidations>
  <pageMargins left="0.75" right="0.75" top="1" bottom="1" header="0.5" footer="0.5"/>
  <pageSetup orientation="portrait"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2026-08-30T02:59:34Z</dcterms:created>
  <dcterms:modified xsi:type="dcterms:W3CDTF">2026-08-30T02:59:34Z</dcterms:modified>
</cp:coreProperties>
</file>